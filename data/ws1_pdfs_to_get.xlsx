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 get" sheetId="1" state="visible" r:id="rId3"/>
    <sheet name="Status" sheetId="2" state="visible" r:id="rId4"/>
  </sheets>
  <definedNames>
    <definedName function="false" hidden="true" localSheetId="0" name="_xlnm._FilterDatabase" vbProcedure="false">'To get'!$A$5:$H$30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<sst xmlns="http://schemas.openxmlformats.org/spreadsheetml/2006/main" count="197" uniqueCount="150">
  <si>
    <t xml:space="preserve">WS1 PDFs still to get</t>
  </si>
  <si>
    <t xml:space="preserve">Mark the Done column 'yes' as you save each file to ~/spar-lit-review/ws1-extraction/pdfs/ under the 'Save as' name.</t>
  </si>
  <si>
    <t xml:space="preserve">Remaining</t>
  </si>
  <si>
    <t xml:space="preserve">of</t>
  </si>
  <si>
    <t xml:space="preserve">Done</t>
  </si>
  <si>
    <t xml:space="preserve">Save as</t>
  </si>
  <si>
    <t xml:space="preserve">Group</t>
  </si>
  <si>
    <t xml:space="preserve">Title</t>
  </si>
  <si>
    <t xml:space="preserve">Venue</t>
  </si>
  <si>
    <t xml:space="preserve">Year</t>
  </si>
  <si>
    <t xml:space="preserve">Link (DOI or URL)</t>
  </si>
  <si>
    <t xml:space="preserve">Note</t>
  </si>
  <si>
    <t xml:space="preserve">R0133.pdf</t>
  </si>
  <si>
    <t xml:space="preserve">Journal (library)</t>
  </si>
  <si>
    <t xml:space="preserve">Artificial intelligence in clinical pharmacology: A case study and scoping review of large language models and bioweapon potential.</t>
  </si>
  <si>
    <t xml:space="preserve">British journal of clinical pharmacology</t>
  </si>
  <si>
    <t xml:space="preserve">2024</t>
  </si>
  <si>
    <t xml:space="preserve">https://doi.org/10.1111/bcp.15899</t>
  </si>
  <si>
    <t xml:space="preserve">R0248.pdf</t>
  </si>
  <si>
    <t xml:space="preserve">Prioritizing Feasible and Impactful Actions to Enable Secure AI Development and Use in Biology.</t>
  </si>
  <si>
    <t xml:space="preserve">Biotechnology and bioengineering</t>
  </si>
  <si>
    <t xml:space="preserve">2026</t>
  </si>
  <si>
    <t xml:space="preserve">https://doi.org/10.1002/bit.70132</t>
  </si>
  <si>
    <t xml:space="preserve">R0254.pdf</t>
  </si>
  <si>
    <t xml:space="preserve">The case for near-term artificial intelligence risks to be considered a public health problem.</t>
  </si>
  <si>
    <t xml:space="preserve">Global public health</t>
  </si>
  <si>
    <t xml:space="preserve">https://doi.org/10.1080/17441692.2026.2716984</t>
  </si>
  <si>
    <t xml:space="preserve">R0352.pdf</t>
  </si>
  <si>
    <t xml:space="preserve">Strengthening nucleic acid biosecurity screening against generative protein design tools.</t>
  </si>
  <si>
    <t xml:space="preserve">Science (New York, N.Y.)</t>
  </si>
  <si>
    <t xml:space="preserve">2025</t>
  </si>
  <si>
    <t xml:space="preserve">https://doi.org/10.1126/science.adu8578</t>
  </si>
  <si>
    <t xml:space="preserve">R0354.pdf</t>
  </si>
  <si>
    <t xml:space="preserve">Virtual Labs and Designer Bugs - Generative AI, Synthetic Biology and National Security.</t>
  </si>
  <si>
    <t xml:space="preserve">Journal of law and medicine</t>
  </si>
  <si>
    <t xml:space="preserve">https://pubmed.ncbi.nlm.nih.gov/38963250/</t>
  </si>
  <si>
    <t xml:space="preserve">R0368.pdf</t>
  </si>
  <si>
    <t xml:space="preserve">Toward risk analysis of the impact of artificial intelligence on the deliberate biological threat landscape.</t>
  </si>
  <si>
    <t xml:space="preserve">Risk analysis : an official publication of the Society for Risk Analysis</t>
  </si>
  <si>
    <t xml:space="preserve">https://doi.org/10.1111/risa.17691</t>
  </si>
  <si>
    <t xml:space="preserve">R0374.pdf</t>
  </si>
  <si>
    <t xml:space="preserve">Governance strategies for biological AI: beyond the dual-use dilemma.</t>
  </si>
  <si>
    <t xml:space="preserve">Trends in biotechnology</t>
  </si>
  <si>
    <t xml:space="preserve">https://doi.org/10.1016/j.tibtech.2025.09.012</t>
  </si>
  <si>
    <t xml:space="preserve">Last file was a saved web page, not the PDF</t>
  </si>
  <si>
    <t xml:space="preserve">R0377.pdf</t>
  </si>
  <si>
    <t xml:space="preserve">Could chatbots help devise the next pandemic virus?</t>
  </si>
  <si>
    <t xml:space="preserve">2023</t>
  </si>
  <si>
    <t xml:space="preserve">https://doi.org/10.1126/science.adj3377</t>
  </si>
  <si>
    <t xml:space="preserve">R0379.pdf</t>
  </si>
  <si>
    <t xml:space="preserve">AI bioweapons: Anthropic claims scientists used Claude AI tool for dangerous research.</t>
  </si>
  <si>
    <t xml:space="preserve">BMJ (Clinical research ed.)</t>
  </si>
  <si>
    <t xml:space="preserve">https://doi.org/10.1136/bmj-2026-100871</t>
  </si>
  <si>
    <t xml:space="preserve">R0387.pdf</t>
  </si>
  <si>
    <t xml:space="preserve">Letter to the editor concerning the article: "Artificial intelligence in clinical pharmacology: A case study and scoping review of large language models and bioweapon potential".</t>
  </si>
  <si>
    <t xml:space="preserve">https://doi.org/10.1111/bcp.15922</t>
  </si>
  <si>
    <t xml:space="preserve">R0399.pdf</t>
  </si>
  <si>
    <t xml:space="preserve">Redefining biological weapons in the evolving AI, CRISPR, and biothreat landscape</t>
  </si>
  <si>
    <t xml:space="preserve">Ethics, Medicine and Public Health</t>
  </si>
  <si>
    <t xml:space="preserve">https://doi.org/10.1016/j.jemep.2025.101176</t>
  </si>
  <si>
    <t xml:space="preserve">R1566.pdf</t>
  </si>
  <si>
    <t xml:space="preserve">Artificial intelligence and synthetic biology: biosecurity risks, dual-use concerns, and governance pathways</t>
  </si>
  <si>
    <t xml:space="preserve">AI and Ethics</t>
  </si>
  <si>
    <t xml:space="preserve">https://doi.org/10.1007/s43681-025-00872-9</t>
  </si>
  <si>
    <t xml:space="preserve">R1712.pdf</t>
  </si>
  <si>
    <t xml:space="preserve">Biosecurity and Artificial Intelligence in the Life Sciences</t>
  </si>
  <si>
    <t xml:space="preserve">GEN Biotechnology</t>
  </si>
  <si>
    <t xml:space="preserve">https://doi.org/10.1089/genbio.2024.0051</t>
  </si>
  <si>
    <t xml:space="preserve">R2012.pdf</t>
  </si>
  <si>
    <t xml:space="preserve">Artificial intelligence, pharmaceutical development and dual-use research of concern: a call to action</t>
  </si>
  <si>
    <t xml:space="preserve">Journal of Medical Ethics</t>
  </si>
  <si>
    <t xml:space="preserve">https://doi.org/10.1136/jme-2025-110750</t>
  </si>
  <si>
    <t xml:space="preserve">R0810.pdf</t>
  </si>
  <si>
    <t xml:space="preserve">Book chapter</t>
  </si>
  <si>
    <t xml:space="preserve">Emerging Technologies at the Intersection of AI and Biotechnology</t>
  </si>
  <si>
    <t xml:space="preserve">Artificial Intelligence in Biotechnology: Biomanufacturing and Precision Medicine</t>
  </si>
  <si>
    <t xml:space="preserve">https://doi.org/10.1515/9783112214275-013</t>
  </si>
  <si>
    <t xml:space="preserve">R0872.pdf</t>
  </si>
  <si>
    <t xml:space="preserve">Where is the governance of dual-use science going?</t>
  </si>
  <si>
    <t xml:space="preserve">Essentials of Biological Security: A Global Perspective</t>
  </si>
  <si>
    <t xml:space="preserve">https://doi.org/10.1002/9781394189045.ch19</t>
  </si>
  <si>
    <t xml:space="preserve">R0998.pdf</t>
  </si>
  <si>
    <t xml:space="preserve">Chemical and biological weapons in the age of generative artificial intelligence</t>
  </si>
  <si>
    <t xml:space="preserve">The Routledge Handbook of Artificial Intelligence and International Relations</t>
  </si>
  <si>
    <t xml:space="preserve">https://doi.org/10.4324/9781003518495-14</t>
  </si>
  <si>
    <t xml:space="preserve">Last file was an FLI policy paper, not this Routledge chapter</t>
  </si>
  <si>
    <t xml:space="preserve">R2069.pdf</t>
  </si>
  <si>
    <t xml:space="preserve">AI and Biological Weapons</t>
  </si>
  <si>
    <t xml:space="preserve">Studies in peace and security</t>
  </si>
  <si>
    <t xml:space="preserve">2022</t>
  </si>
  <si>
    <t xml:space="preserve">https://doi.org/10.1007/978-3-031-11043-6_7</t>
  </si>
  <si>
    <t xml:space="preserve">R0507.pdf</t>
  </si>
  <si>
    <t xml:space="preserve">Odd source</t>
  </si>
  <si>
    <t xml:space="preserve">EMERGING AND FUTURE TECHNOLOGIES IN PHARMACEUTICALS: GENERATIVE AI, DIGITAL THERAPEUTICS AND AI–BIOCONVERGENCE</t>
  </si>
  <si>
    <t xml:space="preserve">Pharma Times</t>
  </si>
  <si>
    <t xml:space="preserve">https://www.scopus.com/pages/publications/105046844534?origin=resultslist</t>
  </si>
  <si>
    <t xml:space="preserve">Pharma Times trade magazine</t>
  </si>
  <si>
    <t xml:space="preserve">R1492.pdf</t>
  </si>
  <si>
    <t xml:space="preserve">Dual-Use Risk Governance for AI-Enabled Bioinformatics: Access Control, Publication Norms, and Responsible Capability Release</t>
  </si>
  <si>
    <t xml:space="preserve">https://doi.org/10.62311/nesx/rb-978-81-998585-8-9</t>
  </si>
  <si>
    <t xml:space="preserve">R1758.pdf</t>
  </si>
  <si>
    <t xml:space="preserve">ARTIFICIAL INTELLIGENCE IMPACT ASSESSMENT ON NATIONAL SECURITY STRATEGY DEVELOPMENT</t>
  </si>
  <si>
    <t xml:space="preserve">SCIENCE International Journal</t>
  </si>
  <si>
    <t xml:space="preserve">https://doi.org/10.35120/sciencej0304019p</t>
  </si>
  <si>
    <t xml:space="preserve">Use the DOI, not the old URL (it points to an unrelated article)</t>
  </si>
  <si>
    <t xml:space="preserve">R2009.pdf</t>
  </si>
  <si>
    <t xml:space="preserve">Responsible Biodesign Workshop: AI, Protein Design, and the Biosecurity Landscape – Recommended Actions</t>
  </si>
  <si>
    <t xml:space="preserve">https://doi.org/10.31219/osf.io/yq48e_v2</t>
  </si>
  <si>
    <t xml:space="preserve">OSF preprint, should be free</t>
  </si>
  <si>
    <t xml:space="preserve">R2325.pdf</t>
  </si>
  <si>
    <t xml:space="preserve">No link: search by title</t>
  </si>
  <si>
    <t xml:space="preserve">The Evolution of Bioterrorism Threats in the Era of Generative Artificial Intelligence, with an Emphasis on the Strategic Requirements of Biosecurity and the Challenges of Criminal Liability</t>
  </si>
  <si>
    <t xml:space="preserve">Journal of Political Strategy</t>
  </si>
  <si>
    <t xml:space="preserve">R2328.pdf</t>
  </si>
  <si>
    <t xml:space="preserve">AI and Biosecurity</t>
  </si>
  <si>
    <t xml:space="preserve">R2335.pdf</t>
  </si>
  <si>
    <t xml:space="preserve">Artificial Intelligence in Biological and Chemical Warfare</t>
  </si>
  <si>
    <t xml:space="preserve">Where things stand (checked 16 Oct 2026)</t>
  </si>
  <si>
    <t xml:space="preserve">List</t>
  </si>
  <si>
    <t xml:space="preserve">Papers</t>
  </si>
  <si>
    <t xml:space="preserve">Have PDF</t>
  </si>
  <si>
    <t xml:space="preserve">Still to get</t>
  </si>
  <si>
    <t xml:space="preserve">Corpus</t>
  </si>
  <si>
    <t xml:space="preserve">Conflicts</t>
  </si>
  <si>
    <t xml:space="preserve">Total</t>
  </si>
  <si>
    <t xml:space="preserve">Counts from fetch_pdfs.py after today's check; they don't update as you tick rows on the To get tab.</t>
  </si>
  <si>
    <t xml:space="preserve">Fixes made today</t>
  </si>
  <si>
    <t xml:space="preserve">Action</t>
  </si>
  <si>
    <t xml:space="preserve">File</t>
  </si>
  <si>
    <t xml:space="preserve">Why</t>
  </si>
  <si>
    <t xml:space="preserve">Renamed</t>
  </si>
  <si>
    <t xml:space="preserve">R0607, R0720, R0954</t>
  </si>
  <si>
    <t xml:space="preserve">Stray characters in the filename</t>
  </si>
  <si>
    <t xml:space="preserve">Swapped</t>
  </si>
  <si>
    <t xml:space="preserve">R2331 → R2113</t>
  </si>
  <si>
    <t xml:space="preserve">File saved as R2331 was actually R2113</t>
  </si>
  <si>
    <t xml:space="preserve">R2331 copy → R2331</t>
  </si>
  <si>
    <t xml:space="preserve">The 'copy' was the real R2331</t>
  </si>
  <si>
    <t xml:space="preserve">Moved to _rejected</t>
  </si>
  <si>
    <t xml:space="preserve">R0726 duplicate</t>
  </si>
  <si>
    <t xml:space="preserve">Second identical copy</t>
  </si>
  <si>
    <t xml:space="preserve">R0374</t>
  </si>
  <si>
    <t xml:space="preserve">Saved web page, not a PDF</t>
  </si>
  <si>
    <t xml:space="preserve">R1758</t>
  </si>
  <si>
    <t xml:space="preserve">Same wrong article as before</t>
  </si>
  <si>
    <t xml:space="preserve">R0998</t>
  </si>
  <si>
    <t xml:space="preserve">FLI policy paper, not the Routledge chapter</t>
  </si>
  <si>
    <t xml:space="preserve">Needs OCR</t>
  </si>
  <si>
    <t xml:space="preserve">R1748</t>
  </si>
  <si>
    <t xml:space="preserve">Right paper, but a scan with no readable text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</si>
</sst>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111/bcp.15899" TargetMode="External"/><Relationship Id="rId2" Type="http://schemas.openxmlformats.org/officeDocument/2006/relationships/hyperlink" Target="https://doi.org/10.1002/bit.70132" TargetMode="External"/><Relationship Id="rId3" Type="http://schemas.openxmlformats.org/officeDocument/2006/relationships/hyperlink" Target="https://doi.org/10.1080/17441692.2026.2716984" TargetMode="External"/><Relationship Id="rId4" Type="http://schemas.openxmlformats.org/officeDocument/2006/relationships/hyperlink" Target="https://doi.org/10.1126/science.adu8578" TargetMode="External"/><Relationship Id="rId5" Type="http://schemas.openxmlformats.org/officeDocument/2006/relationships/hyperlink" Target="https://pubmed.ncbi.nlm.nih.gov/38963250/" TargetMode="External"/><Relationship Id="rId6" Type="http://schemas.openxmlformats.org/officeDocument/2006/relationships/hyperlink" Target="https://doi.org/10.1111/risa.17691" TargetMode="External"/><Relationship Id="rId7" Type="http://schemas.openxmlformats.org/officeDocument/2006/relationships/hyperlink" Target="https://doi.org/10.1016/j.tibtech.2025.09.012" TargetMode="External"/><Relationship Id="rId8" Type="http://schemas.openxmlformats.org/officeDocument/2006/relationships/hyperlink" Target="https://doi.org/10.1126/science.adj3377" TargetMode="External"/><Relationship Id="rId9" Type="http://schemas.openxmlformats.org/officeDocument/2006/relationships/hyperlink" Target="https://doi.org/10.1136/bmj-2026-100871" TargetMode="External"/><Relationship Id="rId10" Type="http://schemas.openxmlformats.org/officeDocument/2006/relationships/hyperlink" Target="https://doi.org/10.1111/bcp.15922" TargetMode="External"/><Relationship Id="rId11" Type="http://schemas.openxmlformats.org/officeDocument/2006/relationships/hyperlink" Target="https://doi.org/10.1016/j.jemep.2025.101176" TargetMode="External"/><Relationship Id="rId12" Type="http://schemas.openxmlformats.org/officeDocument/2006/relationships/hyperlink" Target="https://doi.org/10.1007/s43681-025-00872-9" TargetMode="External"/><Relationship Id="rId13" Type="http://schemas.openxmlformats.org/officeDocument/2006/relationships/hyperlink" Target="https://doi.org/10.1089/genbio.2024.0051" TargetMode="External"/><Relationship Id="rId14" Type="http://schemas.openxmlformats.org/officeDocument/2006/relationships/hyperlink" Target="https://doi.org/10.1136/jme-2025-110750" TargetMode="External"/><Relationship Id="rId15" Type="http://schemas.openxmlformats.org/officeDocument/2006/relationships/hyperlink" Target="https://doi.org/10.1515/9783112214275-013" TargetMode="External"/><Relationship Id="rId16" Type="http://schemas.openxmlformats.org/officeDocument/2006/relationships/hyperlink" Target="https://doi.org/10.1002/9781394189045.ch19" TargetMode="External"/><Relationship Id="rId17" Type="http://schemas.openxmlformats.org/officeDocument/2006/relationships/hyperlink" Target="https://doi.org/10.4324/9781003518495-14" TargetMode="External"/><Relationship Id="rId18" Type="http://schemas.openxmlformats.org/officeDocument/2006/relationships/hyperlink" Target="https://doi.org/10.1007/978-3-031-11043-6_7" TargetMode="External"/><Relationship Id="rId19" Type="http://schemas.openxmlformats.org/officeDocument/2006/relationships/hyperlink" Target="https://www.scopus.com/pages/publications/105046844534?origin=resultslist" TargetMode="External"/><Relationship Id="rId20" Type="http://schemas.openxmlformats.org/officeDocument/2006/relationships/hyperlink" Target="https://doi.org/10.62311/nesx/rb-978-81-998585-8-9" TargetMode="External"/><Relationship Id="rId21" Type="http://schemas.openxmlformats.org/officeDocument/2006/relationships/hyperlink" Target="https://doi.org/10.35120/sciencej0304019p" TargetMode="External"/><Relationship Id="rId22" Type="http://schemas.openxmlformats.org/officeDocument/2006/relationships/hyperlink" Target="https://doi.org/10.31219/osf.io/yq48e_v2" TargetMode="External"/><Relationship Id="rId2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30"/>
    <col collapsed="false" customWidth="true" hidden="false" outlineLevel="0" max="6" min="6" style="0" width="7"/>
    <col collapsed="false" customWidth="true" hidden="false" outlineLevel="0" max="7" min="7" style="0" width="38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n">
        <f aca="false">COUNTA(B6:B30)-COUNTIF(A6:A30,"yes")</f>
        <v>25</v>
      </c>
      <c r="C3" s="3" t="s">
        <v>3</v>
      </c>
      <c r="D3" s="3" t="n">
        <f aca="false">COUNTA(B6:B30)</f>
        <v>25</v>
      </c>
    </row>
    <row r="5" customFormat="false" ht="15" hidden="false" customHeight="false" outlineLevel="0" collapsed="false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customFormat="false" ht="23.85" hidden="false" customHeight="false" outlineLevel="0" collapsed="false">
      <c r="A6" s="5"/>
      <c r="B6" s="6" t="s">
        <v>12</v>
      </c>
      <c r="C6" s="6" t="s">
        <v>13</v>
      </c>
      <c r="D6" s="7" t="s">
        <v>14</v>
      </c>
      <c r="E6" s="7" t="s">
        <v>15</v>
      </c>
      <c r="F6" s="6" t="s">
        <v>16</v>
      </c>
      <c r="G6" s="8" t="s">
        <v>17</v>
      </c>
      <c r="H6" s="7"/>
    </row>
    <row r="7" customFormat="false" ht="23.85" hidden="false" customHeight="false" outlineLevel="0" collapsed="false">
      <c r="A7" s="5"/>
      <c r="B7" s="6" t="s">
        <v>18</v>
      </c>
      <c r="C7" s="6" t="s">
        <v>13</v>
      </c>
      <c r="D7" s="7" t="s">
        <v>19</v>
      </c>
      <c r="E7" s="7" t="s">
        <v>20</v>
      </c>
      <c r="F7" s="6" t="s">
        <v>21</v>
      </c>
      <c r="G7" s="8" t="s">
        <v>22</v>
      </c>
      <c r="H7" s="7"/>
    </row>
    <row r="8" customFormat="false" ht="23.85" hidden="false" customHeight="false" outlineLevel="0" collapsed="false">
      <c r="A8" s="5"/>
      <c r="B8" s="6" t="s">
        <v>23</v>
      </c>
      <c r="C8" s="6" t="s">
        <v>13</v>
      </c>
      <c r="D8" s="7" t="s">
        <v>24</v>
      </c>
      <c r="E8" s="7" t="s">
        <v>25</v>
      </c>
      <c r="F8" s="6" t="s">
        <v>21</v>
      </c>
      <c r="G8" s="8" t="s">
        <v>26</v>
      </c>
      <c r="H8" s="7"/>
    </row>
    <row r="9" customFormat="false" ht="23.85" hidden="false" customHeight="false" outlineLevel="0" collapsed="false">
      <c r="A9" s="5"/>
      <c r="B9" s="6" t="s">
        <v>27</v>
      </c>
      <c r="C9" s="6" t="s">
        <v>13</v>
      </c>
      <c r="D9" s="7" t="s">
        <v>28</v>
      </c>
      <c r="E9" s="7" t="s">
        <v>29</v>
      </c>
      <c r="F9" s="6" t="s">
        <v>30</v>
      </c>
      <c r="G9" s="8" t="s">
        <v>31</v>
      </c>
      <c r="H9" s="7"/>
    </row>
    <row r="10" customFormat="false" ht="23.85" hidden="false" customHeight="false" outlineLevel="0" collapsed="false">
      <c r="A10" s="5"/>
      <c r="B10" s="6" t="s">
        <v>32</v>
      </c>
      <c r="C10" s="6" t="s">
        <v>13</v>
      </c>
      <c r="D10" s="7" t="s">
        <v>33</v>
      </c>
      <c r="E10" s="7" t="s">
        <v>34</v>
      </c>
      <c r="F10" s="6" t="s">
        <v>16</v>
      </c>
      <c r="G10" s="8" t="s">
        <v>35</v>
      </c>
      <c r="H10" s="7"/>
    </row>
    <row r="11" customFormat="false" ht="23.85" hidden="false" customHeight="false" outlineLevel="0" collapsed="false">
      <c r="A11" s="5"/>
      <c r="B11" s="6" t="s">
        <v>36</v>
      </c>
      <c r="C11" s="6" t="s">
        <v>13</v>
      </c>
      <c r="D11" s="7" t="s">
        <v>37</v>
      </c>
      <c r="E11" s="7" t="s">
        <v>38</v>
      </c>
      <c r="F11" s="6" t="s">
        <v>30</v>
      </c>
      <c r="G11" s="8" t="s">
        <v>39</v>
      </c>
      <c r="H11" s="7"/>
    </row>
    <row r="12" customFormat="false" ht="15" hidden="false" customHeight="false" outlineLevel="0" collapsed="false">
      <c r="A12" s="5"/>
      <c r="B12" s="6" t="s">
        <v>40</v>
      </c>
      <c r="C12" s="6" t="s">
        <v>13</v>
      </c>
      <c r="D12" s="7" t="s">
        <v>41</v>
      </c>
      <c r="E12" s="7" t="s">
        <v>42</v>
      </c>
      <c r="F12" s="6" t="s">
        <v>21</v>
      </c>
      <c r="G12" s="8" t="s">
        <v>43</v>
      </c>
      <c r="H12" s="7" t="s">
        <v>44</v>
      </c>
    </row>
    <row r="13" customFormat="false" ht="15" hidden="false" customHeight="false" outlineLevel="0" collapsed="false">
      <c r="A13" s="5"/>
      <c r="B13" s="6" t="s">
        <v>45</v>
      </c>
      <c r="C13" s="6" t="s">
        <v>13</v>
      </c>
      <c r="D13" s="7" t="s">
        <v>46</v>
      </c>
      <c r="E13" s="7" t="s">
        <v>29</v>
      </c>
      <c r="F13" s="6" t="s">
        <v>47</v>
      </c>
      <c r="G13" s="8" t="s">
        <v>48</v>
      </c>
      <c r="H13" s="7"/>
    </row>
    <row r="14" customFormat="false" ht="23.85" hidden="false" customHeight="false" outlineLevel="0" collapsed="false">
      <c r="A14" s="5"/>
      <c r="B14" s="6" t="s">
        <v>49</v>
      </c>
      <c r="C14" s="6" t="s">
        <v>13</v>
      </c>
      <c r="D14" s="7" t="s">
        <v>50</v>
      </c>
      <c r="E14" s="7" t="s">
        <v>51</v>
      </c>
      <c r="F14" s="6" t="s">
        <v>21</v>
      </c>
      <c r="G14" s="8" t="s">
        <v>52</v>
      </c>
      <c r="H14" s="7"/>
    </row>
    <row r="15" customFormat="false" ht="35.05" hidden="false" customHeight="false" outlineLevel="0" collapsed="false">
      <c r="A15" s="5"/>
      <c r="B15" s="6" t="s">
        <v>53</v>
      </c>
      <c r="C15" s="6" t="s">
        <v>13</v>
      </c>
      <c r="D15" s="7" t="s">
        <v>54</v>
      </c>
      <c r="E15" s="7" t="s">
        <v>15</v>
      </c>
      <c r="F15" s="6" t="s">
        <v>47</v>
      </c>
      <c r="G15" s="8" t="s">
        <v>55</v>
      </c>
      <c r="H15" s="7"/>
    </row>
    <row r="16" customFormat="false" ht="23.85" hidden="false" customHeight="false" outlineLevel="0" collapsed="false">
      <c r="A16" s="5"/>
      <c r="B16" s="6" t="s">
        <v>56</v>
      </c>
      <c r="C16" s="6" t="s">
        <v>13</v>
      </c>
      <c r="D16" s="7" t="s">
        <v>57</v>
      </c>
      <c r="E16" s="7" t="s">
        <v>58</v>
      </c>
      <c r="F16" s="6" t="s">
        <v>30</v>
      </c>
      <c r="G16" s="8" t="s">
        <v>59</v>
      </c>
      <c r="H16" s="7"/>
    </row>
    <row r="17" customFormat="false" ht="23.85" hidden="false" customHeight="false" outlineLevel="0" collapsed="false">
      <c r="A17" s="5"/>
      <c r="B17" s="6" t="s">
        <v>60</v>
      </c>
      <c r="C17" s="6" t="s">
        <v>13</v>
      </c>
      <c r="D17" s="7" t="s">
        <v>61</v>
      </c>
      <c r="E17" s="7" t="s">
        <v>62</v>
      </c>
      <c r="F17" s="6" t="s">
        <v>30</v>
      </c>
      <c r="G17" s="8" t="s">
        <v>63</v>
      </c>
      <c r="H17" s="7"/>
    </row>
    <row r="18" customFormat="false" ht="15" hidden="false" customHeight="false" outlineLevel="0" collapsed="false">
      <c r="A18" s="5"/>
      <c r="B18" s="6" t="s">
        <v>64</v>
      </c>
      <c r="C18" s="6" t="s">
        <v>13</v>
      </c>
      <c r="D18" s="7" t="s">
        <v>65</v>
      </c>
      <c r="E18" s="7" t="s">
        <v>66</v>
      </c>
      <c r="F18" s="6" t="s">
        <v>16</v>
      </c>
      <c r="G18" s="8" t="s">
        <v>67</v>
      </c>
      <c r="H18" s="7"/>
    </row>
    <row r="19" customFormat="false" ht="23.85" hidden="false" customHeight="false" outlineLevel="0" collapsed="false">
      <c r="A19" s="5"/>
      <c r="B19" s="6" t="s">
        <v>68</v>
      </c>
      <c r="C19" s="6" t="s">
        <v>13</v>
      </c>
      <c r="D19" s="7" t="s">
        <v>69</v>
      </c>
      <c r="E19" s="7" t="s">
        <v>70</v>
      </c>
      <c r="F19" s="6" t="s">
        <v>30</v>
      </c>
      <c r="G19" s="8" t="s">
        <v>71</v>
      </c>
      <c r="H19" s="7"/>
    </row>
    <row r="20" customFormat="false" ht="35.05" hidden="false" customHeight="false" outlineLevel="0" collapsed="false">
      <c r="A20" s="5"/>
      <c r="B20" s="6" t="s">
        <v>72</v>
      </c>
      <c r="C20" s="6" t="s">
        <v>73</v>
      </c>
      <c r="D20" s="7" t="s">
        <v>74</v>
      </c>
      <c r="E20" s="7" t="s">
        <v>75</v>
      </c>
      <c r="F20" s="6" t="s">
        <v>21</v>
      </c>
      <c r="G20" s="8" t="s">
        <v>76</v>
      </c>
      <c r="H20" s="7"/>
    </row>
    <row r="21" customFormat="false" ht="23.85" hidden="false" customHeight="false" outlineLevel="0" collapsed="false">
      <c r="A21" s="5"/>
      <c r="B21" s="6" t="s">
        <v>77</v>
      </c>
      <c r="C21" s="6" t="s">
        <v>73</v>
      </c>
      <c r="D21" s="7" t="s">
        <v>78</v>
      </c>
      <c r="E21" s="7" t="s">
        <v>79</v>
      </c>
      <c r="F21" s="6" t="s">
        <v>16</v>
      </c>
      <c r="G21" s="8" t="s">
        <v>80</v>
      </c>
      <c r="H21" s="7"/>
    </row>
    <row r="22" customFormat="false" ht="35.05" hidden="false" customHeight="false" outlineLevel="0" collapsed="false">
      <c r="A22" s="5"/>
      <c r="B22" s="6" t="s">
        <v>81</v>
      </c>
      <c r="C22" s="6" t="s">
        <v>73</v>
      </c>
      <c r="D22" s="7" t="s">
        <v>82</v>
      </c>
      <c r="E22" s="7" t="s">
        <v>83</v>
      </c>
      <c r="F22" s="6" t="s">
        <v>30</v>
      </c>
      <c r="G22" s="8" t="s">
        <v>84</v>
      </c>
      <c r="H22" s="7" t="s">
        <v>85</v>
      </c>
    </row>
    <row r="23" customFormat="false" ht="15" hidden="false" customHeight="false" outlineLevel="0" collapsed="false">
      <c r="A23" s="5"/>
      <c r="B23" s="6" t="s">
        <v>86</v>
      </c>
      <c r="C23" s="6" t="s">
        <v>73</v>
      </c>
      <c r="D23" s="7" t="s">
        <v>87</v>
      </c>
      <c r="E23" s="7" t="s">
        <v>88</v>
      </c>
      <c r="F23" s="6" t="s">
        <v>89</v>
      </c>
      <c r="G23" s="8" t="s">
        <v>90</v>
      </c>
      <c r="H23" s="7"/>
    </row>
    <row r="24" customFormat="false" ht="35.05" hidden="false" customHeight="false" outlineLevel="0" collapsed="false">
      <c r="A24" s="5"/>
      <c r="B24" s="6" t="s">
        <v>91</v>
      </c>
      <c r="C24" s="6" t="s">
        <v>92</v>
      </c>
      <c r="D24" s="7" t="s">
        <v>93</v>
      </c>
      <c r="E24" s="7" t="s">
        <v>94</v>
      </c>
      <c r="F24" s="6" t="s">
        <v>21</v>
      </c>
      <c r="G24" s="8" t="s">
        <v>95</v>
      </c>
      <c r="H24" s="7" t="s">
        <v>96</v>
      </c>
    </row>
    <row r="25" customFormat="false" ht="23.85" hidden="false" customHeight="false" outlineLevel="0" collapsed="false">
      <c r="A25" s="5"/>
      <c r="B25" s="6" t="s">
        <v>97</v>
      </c>
      <c r="C25" s="6" t="s">
        <v>92</v>
      </c>
      <c r="D25" s="7" t="s">
        <v>98</v>
      </c>
      <c r="E25" s="7"/>
      <c r="F25" s="6" t="s">
        <v>21</v>
      </c>
      <c r="G25" s="8" t="s">
        <v>99</v>
      </c>
      <c r="H25" s="7"/>
    </row>
    <row r="26" customFormat="false" ht="23.85" hidden="false" customHeight="false" outlineLevel="0" collapsed="false">
      <c r="A26" s="5"/>
      <c r="B26" s="6" t="s">
        <v>100</v>
      </c>
      <c r="C26" s="6" t="s">
        <v>92</v>
      </c>
      <c r="D26" s="7" t="s">
        <v>101</v>
      </c>
      <c r="E26" s="7" t="s">
        <v>102</v>
      </c>
      <c r="F26" s="6" t="s">
        <v>16</v>
      </c>
      <c r="G26" s="8" t="s">
        <v>103</v>
      </c>
      <c r="H26" s="7" t="s">
        <v>104</v>
      </c>
    </row>
    <row r="27" customFormat="false" ht="23.85" hidden="false" customHeight="false" outlineLevel="0" collapsed="false">
      <c r="A27" s="5"/>
      <c r="B27" s="6" t="s">
        <v>105</v>
      </c>
      <c r="C27" s="6" t="s">
        <v>92</v>
      </c>
      <c r="D27" s="7" t="s">
        <v>106</v>
      </c>
      <c r="E27" s="7"/>
      <c r="F27" s="6" t="s">
        <v>30</v>
      </c>
      <c r="G27" s="8" t="s">
        <v>107</v>
      </c>
      <c r="H27" s="7" t="s">
        <v>108</v>
      </c>
    </row>
    <row r="28" customFormat="false" ht="35.05" hidden="false" customHeight="false" outlineLevel="0" collapsed="false">
      <c r="A28" s="5"/>
      <c r="B28" s="6" t="s">
        <v>109</v>
      </c>
      <c r="C28" s="6" t="s">
        <v>110</v>
      </c>
      <c r="D28" s="7" t="s">
        <v>111</v>
      </c>
      <c r="E28" s="7" t="s">
        <v>112</v>
      </c>
      <c r="F28" s="6" t="s">
        <v>21</v>
      </c>
      <c r="G28" s="6"/>
      <c r="H28" s="7"/>
    </row>
    <row r="29" customFormat="false" ht="15" hidden="false" customHeight="false" outlineLevel="0" collapsed="false">
      <c r="A29" s="5"/>
      <c r="B29" s="6" t="s">
        <v>113</v>
      </c>
      <c r="C29" s="6" t="s">
        <v>110</v>
      </c>
      <c r="D29" s="7" t="s">
        <v>114</v>
      </c>
      <c r="E29" s="7"/>
      <c r="F29" s="6" t="s">
        <v>30</v>
      </c>
      <c r="G29" s="6"/>
      <c r="H29" s="7"/>
    </row>
    <row r="30" customFormat="false" ht="15" hidden="false" customHeight="false" outlineLevel="0" collapsed="false">
      <c r="A30" s="5"/>
      <c r="B30" s="6" t="s">
        <v>115</v>
      </c>
      <c r="C30" s="6" t="s">
        <v>110</v>
      </c>
      <c r="D30" s="7" t="s">
        <v>116</v>
      </c>
      <c r="E30" s="7"/>
      <c r="F30" s="6" t="s">
        <v>47</v>
      </c>
      <c r="G30" s="6"/>
      <c r="H30" s="7"/>
    </row>
  </sheetData>
  <autoFilter ref="A5:H30"/>
  <dataValidations count="1">
    <dataValidation allowBlank="true" errorStyle="stop" operator="between" showDropDown="false" showErrorMessage="false" showInputMessage="false" sqref="A6:A30" type="list">
      <formula1>"yes"</formula1>
      <formula2>0</formula2>
    </dataValidation>
  </dataValidations>
  <hyperlinks>
    <hyperlink ref="G6" r:id="rId1" display="https://doi.org/10.1111/bcp.15899"/>
    <hyperlink ref="G7" r:id="rId2" display="https://doi.org/10.1002/bit.70132"/>
    <hyperlink ref="G8" r:id="rId3" display="https://doi.org/10.1080/17441692.2026.2716984"/>
    <hyperlink ref="G9" r:id="rId4" display="https://doi.org/10.1126/science.adu8578"/>
    <hyperlink ref="G10" r:id="rId5" display="https://pubmed.ncbi.nlm.nih.gov/38963250/"/>
    <hyperlink ref="G11" r:id="rId6" display="https://doi.org/10.1111/risa.17691"/>
    <hyperlink ref="G12" r:id="rId7" display="https://doi.org/10.1016/j.tibtech.2025.09.012"/>
    <hyperlink ref="G13" r:id="rId8" display="https://doi.org/10.1126/science.adj3377"/>
    <hyperlink ref="G14" r:id="rId9" display="https://doi.org/10.1136/bmj-2026-100871"/>
    <hyperlink ref="G15" r:id="rId10" display="https://doi.org/10.1111/bcp.15922"/>
    <hyperlink ref="G16" r:id="rId11" display="https://doi.org/10.1016/j.jemep.2025.101176"/>
    <hyperlink ref="G17" r:id="rId12" display="https://doi.org/10.1007/s43681-025-00872-9"/>
    <hyperlink ref="G18" r:id="rId13" display="https://doi.org/10.1089/genbio.2024.0051"/>
    <hyperlink ref="G19" r:id="rId14" display="https://doi.org/10.1136/jme-2025-110750"/>
    <hyperlink ref="G20" r:id="rId15" display="https://doi.org/10.1515/9783112214275-013"/>
    <hyperlink ref="G21" r:id="rId16" display="https://doi.org/10.1002/9781394189045.ch19"/>
    <hyperlink ref="G22" r:id="rId17" display="https://doi.org/10.4324/9781003518495-14"/>
    <hyperlink ref="G23" r:id="rId18" display="https://doi.org/10.1007/978-3-031-11043-6_7"/>
    <hyperlink ref="G24" r:id="rId19" display="https://www.scopus.com/pages/publications/105046844534?origin=resultslist"/>
    <hyperlink ref="G25" r:id="rId20" display="https://doi.org/10.62311/nesx/rb-978-81-998585-8-9"/>
    <hyperlink ref="G26" r:id="rId21" display="https://doi.org/10.35120/sciencej0304019p"/>
    <hyperlink ref="G27" r:id="rId22" display="https://doi.org/10.31219/osf.io/yq48e_v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8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4" t="s">
        <v>118</v>
      </c>
      <c r="B3" s="4" t="s">
        <v>119</v>
      </c>
      <c r="C3" s="4" t="s">
        <v>120</v>
      </c>
      <c r="D3" s="4" t="s">
        <v>121</v>
      </c>
    </row>
    <row r="4" customFormat="false" ht="15" hidden="false" customHeight="false" outlineLevel="0" collapsed="false">
      <c r="A4" s="9" t="s">
        <v>122</v>
      </c>
      <c r="B4" s="9" t="n">
        <v>142</v>
      </c>
      <c r="C4" s="9" t="n">
        <v>117</v>
      </c>
      <c r="D4" s="9" t="n">
        <f aca="false">B4-C4</f>
        <v>25</v>
      </c>
    </row>
    <row r="5" customFormat="false" ht="15" hidden="false" customHeight="false" outlineLevel="0" collapsed="false">
      <c r="A5" s="9" t="s">
        <v>123</v>
      </c>
      <c r="B5" s="9" t="n">
        <v>13</v>
      </c>
      <c r="C5" s="9" t="n">
        <v>13</v>
      </c>
      <c r="D5" s="9" t="n">
        <f aca="false">B5-C5</f>
        <v>0</v>
      </c>
    </row>
    <row r="6" customFormat="false" ht="15" hidden="false" customHeight="false" outlineLevel="0" collapsed="false">
      <c r="A6" s="9" t="s">
        <v>124</v>
      </c>
      <c r="B6" s="9" t="n">
        <f aca="false">SUM(B4:B5)</f>
        <v>155</v>
      </c>
      <c r="C6" s="9" t="n">
        <f aca="false">SUM(C4:C5)</f>
        <v>130</v>
      </c>
      <c r="D6" s="9" t="n">
        <f aca="false">SUM(D4:D5)</f>
        <v>25</v>
      </c>
    </row>
    <row r="7" customFormat="false" ht="15" hidden="false" customHeight="false" outlineLevel="0" collapsed="false">
      <c r="A7" s="2" t="s">
        <v>125</v>
      </c>
      <c r="B7" s="9"/>
      <c r="C7" s="9"/>
      <c r="D7" s="9"/>
    </row>
    <row r="8" customFormat="false" ht="15" hidden="false" customHeight="false" outlineLevel="0" collapsed="false">
      <c r="A8" s="9"/>
      <c r="B8" s="9"/>
      <c r="C8" s="9"/>
      <c r="D8" s="9"/>
    </row>
    <row r="9" customFormat="false" ht="15" hidden="false" customHeight="false" outlineLevel="0" collapsed="false">
      <c r="A9" s="10" t="s">
        <v>126</v>
      </c>
      <c r="B9" s="9"/>
      <c r="C9" s="9"/>
      <c r="D9" s="9"/>
    </row>
    <row r="10" customFormat="false" ht="15" hidden="false" customHeight="false" outlineLevel="0" collapsed="false">
      <c r="A10" s="4" t="s">
        <v>127</v>
      </c>
      <c r="B10" s="4" t="s">
        <v>128</v>
      </c>
      <c r="C10" s="4" t="s">
        <v>129</v>
      </c>
      <c r="D10" s="9"/>
    </row>
    <row r="11" customFormat="false" ht="15" hidden="false" customHeight="false" outlineLevel="0" collapsed="false">
      <c r="A11" s="9" t="s">
        <v>130</v>
      </c>
      <c r="B11" s="9" t="s">
        <v>131</v>
      </c>
      <c r="C11" s="9" t="s">
        <v>132</v>
      </c>
      <c r="D11" s="9"/>
    </row>
    <row r="12" customFormat="false" ht="15" hidden="false" customHeight="false" outlineLevel="0" collapsed="false">
      <c r="A12" s="9" t="s">
        <v>133</v>
      </c>
      <c r="B12" s="9" t="s">
        <v>134</v>
      </c>
      <c r="C12" s="9" t="s">
        <v>135</v>
      </c>
      <c r="D12" s="9"/>
    </row>
    <row r="13" customFormat="false" ht="15" hidden="false" customHeight="false" outlineLevel="0" collapsed="false">
      <c r="A13" s="9" t="s">
        <v>133</v>
      </c>
      <c r="B13" s="9" t="s">
        <v>136</v>
      </c>
      <c r="C13" s="9" t="s">
        <v>137</v>
      </c>
      <c r="D13" s="9"/>
    </row>
    <row r="14" customFormat="false" ht="15" hidden="false" customHeight="false" outlineLevel="0" collapsed="false">
      <c r="A14" s="9" t="s">
        <v>138</v>
      </c>
      <c r="B14" s="9" t="s">
        <v>139</v>
      </c>
      <c r="C14" s="9" t="s">
        <v>140</v>
      </c>
      <c r="D14" s="9"/>
    </row>
    <row r="15" customFormat="false" ht="15" hidden="false" customHeight="false" outlineLevel="0" collapsed="false">
      <c r="A15" s="9" t="s">
        <v>138</v>
      </c>
      <c r="B15" s="9" t="s">
        <v>141</v>
      </c>
      <c r="C15" s="9" t="s">
        <v>142</v>
      </c>
      <c r="D15" s="9"/>
    </row>
    <row r="16" customFormat="false" ht="15" hidden="false" customHeight="false" outlineLevel="0" collapsed="false">
      <c r="A16" s="9" t="s">
        <v>138</v>
      </c>
      <c r="B16" s="9" t="s">
        <v>143</v>
      </c>
      <c r="C16" s="9" t="s">
        <v>144</v>
      </c>
      <c r="D16" s="9"/>
    </row>
    <row r="17" customFormat="false" ht="15" hidden="false" customHeight="false" outlineLevel="0" collapsed="false">
      <c r="A17" s="9" t="s">
        <v>138</v>
      </c>
      <c r="B17" s="9" t="s">
        <v>145</v>
      </c>
      <c r="C17" s="9" t="s">
        <v>146</v>
      </c>
      <c r="D17" s="9"/>
    </row>
    <row r="18" customFormat="false" ht="15" hidden="false" customHeight="false" outlineLevel="0" collapsed="false">
      <c r="A18" s="9" t="s">
        <v>147</v>
      </c>
      <c r="B18" s="9" t="s">
        <v>148</v>
      </c>
      <c r="C18" s="9" t="s">
        <v>149</v>
      </c>
      <c r="D18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2026-10-16T20:56:44Z</dcterms:created>
  <dc:creator>openpyxl</dc:creator>
  <dc:description/>
  <dc:language>en-US</dc:language>
  <cp:lastModifiedBy/>
  <dcterms:modified xsi:type="dcterms:W3CDTF">2026-10-16T20:56:44Z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